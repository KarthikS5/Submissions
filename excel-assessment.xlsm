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1" hidePivotFieldList="1"/>
  <bookViews>
    <workbookView xWindow="0" yWindow="495" windowWidth="20730" windowHeight="11760" tabRatio="849" activeTab="4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/>
  <c r="F29"/>
  <c r="F28"/>
  <c r="E30"/>
  <c r="E29"/>
  <c r="E28"/>
  <c r="D30"/>
  <c r="D29"/>
  <c r="D28"/>
  <c r="C30"/>
  <c r="C29"/>
  <c r="C28"/>
  <c r="B30"/>
  <c r="B29"/>
  <c r="B28"/>
  <c r="B6"/>
  <c r="F26"/>
  <c r="F27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6"/>
  <c r="C26"/>
  <c r="C27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6"/>
  <c r="B15"/>
  <c r="B16"/>
  <c r="B17"/>
  <c r="B18"/>
  <c r="B19"/>
  <c r="B20"/>
  <c r="B21"/>
  <c r="B22"/>
  <c r="B23"/>
  <c r="B24"/>
  <c r="B25"/>
  <c r="B26"/>
  <c r="B27"/>
  <c r="B7"/>
  <c r="B8"/>
  <c r="B9"/>
  <c r="B10"/>
  <c r="B11"/>
  <c r="B12"/>
  <c r="B13"/>
  <c r="B14"/>
  <c r="C23" i="20"/>
  <c r="C22" i="19"/>
  <c r="H41" i="1"/>
</calcChain>
</file>

<file path=xl/sharedStrings.xml><?xml version="1.0" encoding="utf-8"?>
<sst xmlns="http://schemas.openxmlformats.org/spreadsheetml/2006/main" count="410" uniqueCount="186">
  <si>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</si>
  <si>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</si>
  <si>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</si>
  <si>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</si>
  <si>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</si>
  <si>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</si>
  <si>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</si>
  <si>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</si>
  <si>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</si>
  <si>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</si>
  <si>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</si>
  <si>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</si>
  <si>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</si>
  <si>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</si>
  <si>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</si>
  <si>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</si>
  <si>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</si>
  <si>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</si>
  <si>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</si>
  <si>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</si>
  <si>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</si>
  <si>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</si>
  <si>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</si>
  <si>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</si>
  <si>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</si>
  <si>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</si>
  <si>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</si>
  <si>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</si>
  <si>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</si>
  <si>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</si>
  <si>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</si>
  <si>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</si>
  <si>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</si>
  <si>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</si>
  <si>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</si>
  <si>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</si>
  <si>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</si>
  <si>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</si>
  <si>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</si>
  <si>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</si>
  <si>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</si>
  <si>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</si>
  <si>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</si>
  <si>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</si>
  <si>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</si>
  <si>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</si>
  <si>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</si>
  <si>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</si>
  <si>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</si>
  <si>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</si>
  <si>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</si>
  <si>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</si>
  <si>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</si>
  <si>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</si>
  <si>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</si>
  <si>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</si>
  <si>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</si>
  <si>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</si>
  <si>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</si>
  <si>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</si>
  <si>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</si>
  <si>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</si>
  <si>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</si>
  <si>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</si>
  <si>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</si>
  <si>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</si>
  <si>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</si>
  <si>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</si>
  <si>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</si>
  <si>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</si>
  <si>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</si>
  <si>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</si>
  <si>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</si>
  <si>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</si>
  <si>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</si>
  <si>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</si>
  <si>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</si>
  <si>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</si>
  <si>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</si>
  <si>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</si>
  <si>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</si>
  <si>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</si>
  <si>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</si>
  <si>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</si>
  <si>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</si>
  <si>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</si>
  <si>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</si>
  <si>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</si>
  <si>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</si>
  <si>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</si>
  <si>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</si>
  <si>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</si>
  <si>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</si>
  <si>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</si>
  <si>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</si>
  <si>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</si>
  <si>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</si>
  <si>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</si>
  <si>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</si>
  <si>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</si>
  <si>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</si>
  <si>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</si>
  <si>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</si>
  <si>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</si>
  <si>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</si>
  <si>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</si>
  <si>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</si>
  <si>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</si>
  <si>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</si>
  <si>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</si>
  <si>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</si>
  <si>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</si>
  <si>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</si>
  <si>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</si>
  <si>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</si>
  <si>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</si>
  <si>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</si>
  <si>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</si>
  <si>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</si>
  <si>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</si>
  <si>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</si>
  <si>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</si>
  <si>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</si>
  <si>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</si>
  <si>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</si>
  <si>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</si>
  <si>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</si>
  <si>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</si>
  <si>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</si>
  <si>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</si>
  <si>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</si>
  <si>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</si>
  <si>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</si>
  <si>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</si>
  <si>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</si>
  <si>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</si>
  <si>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</si>
  <si>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</si>
  <si>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</si>
  <si>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</si>
  <si>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</si>
  <si>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</si>
  <si>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</si>
  <si>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</si>
  <si>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</si>
  <si>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</si>
  <si>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</si>
  <si>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</si>
  <si>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</si>
  <si>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</si>
  <si>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</si>
  <si>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</si>
  <si>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</si>
  <si>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</si>
  <si>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</si>
  <si>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</si>
  <si>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</si>
  <si>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</si>
  <si>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</si>
  <si>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</si>
  <si>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</si>
  <si>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</si>
  <si>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</si>
  <si>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</si>
  <si>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</si>
  <si>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</si>
  <si>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</si>
  <si>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</si>
  <si>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</si>
  <si>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</si>
  <si>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</si>
  <si>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</si>
  <si>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</si>
  <si>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</si>
  <si>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</si>
  <si>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</si>
  <si>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</si>
  <si>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SUMIF(H:H,"&gt;20")</t>
  </si>
  <si>
    <t>SUM(IF(ISNA(sales),20,sales)</t>
  </si>
  <si>
    <t>The function sums all the values in a range or array.</t>
  </si>
  <si>
    <t> This function checks each value in the specified range (Table_A[Sales]) and replaces any #N/A values with 20 before summing them.</t>
  </si>
  <si>
    <r>
      <t>(  =VLOOKUP</t>
    </r>
    <r>
      <rPr>
        <sz val="11"/>
        <color rgb="FF444746"/>
        <rFont val="Calibri"/>
        <family val="2"/>
        <scheme val="minor"/>
      </rPr>
      <t>($</t>
    </r>
    <r>
      <rPr>
        <sz val="11"/>
        <color rgb="FF000000"/>
        <rFont val="Calibri"/>
        <family val="2"/>
        <scheme val="minor"/>
      </rPr>
      <t>A6</t>
    </r>
    <r>
      <rPr>
        <sz val="11"/>
        <color rgb="FF444746"/>
        <rFont val="Calibri"/>
        <family val="2"/>
        <scheme val="minor"/>
      </rPr>
      <t xml:space="preserve">, Table1, 7, </t>
    </r>
    <r>
      <rPr>
        <sz val="11"/>
        <color rgb="FF000000"/>
        <rFont val="Calibri"/>
        <family val="2"/>
        <scheme val="minor"/>
      </rPr>
      <t>FALSE</t>
    </r>
    <r>
      <rPr>
        <sz val="11"/>
        <color rgb="FF444746"/>
        <rFont val="Calibri"/>
        <family val="2"/>
        <scheme val="minor"/>
      </rPr>
      <t>)  ) For Minimum = (=Min), Maximum = (= Max), Average = (=Average)</t>
    </r>
  </si>
  <si>
    <t>used date format inbuild function</t>
  </si>
  <si>
    <t>used from ribbon function called Freeze Panes for freez the top row</t>
  </si>
  <si>
    <t>From Ribbon Fucntion Called the Text to Coumns</t>
  </si>
  <si>
    <t>Selected all value and went to throght the deliminated  and next select th hypon which should be seperated from text and apply it.</t>
  </si>
</sst>
</file>

<file path=xl/styles.xml><?xml version="1.0" encoding="utf-8"?>
<styleSheet xmlns="http://schemas.openxmlformats.org/spreadsheetml/2006/main">
  <numFmts count="2">
    <numFmt numFmtId="164" formatCode="hh:mm:ss;@"/>
    <numFmt numFmtId="165" formatCode="yyyy\-mm\-dd;@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  <font>
      <sz val="11"/>
      <color rgb="FF44474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3" fillId="0" borderId="0" xfId="0" applyFont="1" applyBorder="1"/>
    <xf numFmtId="164" fontId="3" fillId="0" borderId="0" xfId="0" applyNumberFormat="1" applyFont="1" applyBorder="1"/>
    <xf numFmtId="0" fontId="7" fillId="3" borderId="0" xfId="0" applyFont="1" applyFill="1" applyBorder="1"/>
    <xf numFmtId="0" fontId="3" fillId="0" borderId="0" xfId="0" applyNumberFormat="1" applyFont="1" applyBorder="1"/>
    <xf numFmtId="165" fontId="7" fillId="0" borderId="0" xfId="0" applyNumberFormat="1" applyFont="1"/>
    <xf numFmtId="165" fontId="3" fillId="0" borderId="0" xfId="0" applyNumberFormat="1" applyFont="1"/>
    <xf numFmtId="165" fontId="3" fillId="0" borderId="0" xfId="0" applyNumberFormat="1" applyFont="1" applyBorder="1"/>
    <xf numFmtId="0" fontId="18" fillId="0" borderId="0" xfId="0" applyFont="1"/>
    <xf numFmtId="2" fontId="3" fillId="0" borderId="6" xfId="0" applyNumberFormat="1" applyFont="1" applyBorder="1"/>
    <xf numFmtId="2" fontId="3" fillId="5" borderId="1" xfId="0" applyNumberFormat="1" applyFont="1" applyFill="1" applyBorder="1"/>
    <xf numFmtId="0" fontId="3" fillId="0" borderId="0" xfId="0" applyFont="1" applyAlignment="1">
      <alignment horizontal="center" vertical="center"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X41" totalsRowCount="1" headerRowDxfId="49" dataDxfId="48">
  <autoFilter ref="A1:X40"/>
  <tableColumns count="24">
    <tableColumn id="1" name="name" dataDxfId="47" totalsRowDxfId="46"/>
    <tableColumn id="2" name="ID" dataDxfId="45" totalsRowDxfId="44"/>
    <tableColumn id="3" name="start_day" dataDxfId="43" totalsRowDxfId="42"/>
    <tableColumn id="4" name="start_time" dataDxfId="41" totalsRowDxfId="40"/>
    <tableColumn id="5" name="end_day" dataDxfId="39" totalsRowDxfId="38"/>
    <tableColumn id="6" name="end_time" dataDxfId="37" totalsRowDxfId="36"/>
    <tableColumn id="7" name="car1" dataDxfId="35" totalsRowDxfId="34"/>
    <tableColumn id="8" name="car2" totalsRowFunction="custom" dataDxfId="33" totalsRowDxfId="32">
      <totalsRowFormula>SUMIF([car2],"&gt;20")</totalsRowFormula>
    </tableColumn>
    <tableColumn id="9" name="car3" dataDxfId="31" totalsRowDxfId="30"/>
    <tableColumn id="10" name="moto1" dataDxfId="29" totalsRowDxfId="28"/>
    <tableColumn id="11" name="moto2" dataDxfId="27" totalsRowDxfId="26"/>
    <tableColumn id="12" name="moto3" dataDxfId="25" totalsRowDxfId="24"/>
    <tableColumn id="13" name="bus1" dataDxfId="23" totalsRowDxfId="22"/>
    <tableColumn id="14" name="bus2" dataDxfId="21" totalsRowDxfId="20"/>
    <tableColumn id="15" name="bus3" dataDxfId="19" totalsRowDxfId="18"/>
    <tableColumn id="16" name="rv1" dataDxfId="17" totalsRowDxfId="16"/>
    <tableColumn id="17" name="rv2" dataDxfId="15" totalsRowDxfId="14"/>
    <tableColumn id="18" name="rv3" dataDxfId="13" totalsRowDxfId="12"/>
    <tableColumn id="19" name="truck1" dataDxfId="11" totalsRowDxfId="10"/>
    <tableColumn id="20" name="truck2" dataDxfId="9" totalsRowDxfId="8"/>
    <tableColumn id="21" name="taxi1" dataDxfId="7" totalsRowDxfId="6"/>
    <tableColumn id="22" name="taxi2" dataDxfId="5" totalsRowDxfId="4"/>
    <tableColumn id="23" name="taxi3" dataDxfId="3" totalsRowDxfId="2"/>
    <tableColumn id="24" name="date" dataDxfId="1" totalsRow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zoomScaleNormal="100" workbookViewId="0">
      <selection activeCell="E16" sqref="E16"/>
    </sheetView>
  </sheetViews>
  <sheetFormatPr defaultColWidth="11" defaultRowHeight="12.75"/>
  <cols>
    <col min="1" max="1" width="70.83203125" style="2" customWidth="1"/>
    <col min="2" max="16384" width="11" style="2"/>
  </cols>
  <sheetData>
    <row r="1" spans="1:3" ht="18.75">
      <c r="A1" s="36" t="s">
        <v>108</v>
      </c>
    </row>
    <row r="2" spans="1:3">
      <c r="A2" s="2" t="s">
        <v>109</v>
      </c>
    </row>
    <row r="3" spans="1:3">
      <c r="A3" s="2" t="s">
        <v>110</v>
      </c>
    </row>
    <row r="4" spans="1:3" ht="15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3" t="s">
        <v>171</v>
      </c>
      <c r="B9" s="24" t="s">
        <v>169</v>
      </c>
    </row>
    <row r="10" spans="1:3">
      <c r="A10" s="32" t="s">
        <v>172</v>
      </c>
      <c r="B10" s="34">
        <v>25</v>
      </c>
    </row>
    <row r="11" spans="1:3">
      <c r="A11" s="32" t="s">
        <v>55</v>
      </c>
      <c r="B11" s="34">
        <v>30</v>
      </c>
    </row>
    <row r="12" spans="1:3">
      <c r="A12" s="32" t="s">
        <v>56</v>
      </c>
      <c r="B12" s="34">
        <v>10</v>
      </c>
    </row>
    <row r="13" spans="1:3">
      <c r="A13" s="32" t="s">
        <v>85</v>
      </c>
      <c r="B13" s="34">
        <v>20</v>
      </c>
    </row>
    <row r="14" spans="1:3">
      <c r="A14" s="32" t="s">
        <v>98</v>
      </c>
      <c r="B14" s="34">
        <v>40</v>
      </c>
    </row>
    <row r="15" spans="1:3">
      <c r="A15" s="35" t="s">
        <v>170</v>
      </c>
      <c r="B15" s="23">
        <v>125</v>
      </c>
    </row>
  </sheetData>
  <dataConsolidate/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1"/>
  <sheetViews>
    <sheetView topLeftCell="H1" zoomScaleNormal="100" workbookViewId="0">
      <pane ySplit="1" topLeftCell="A2" activePane="bottomLeft" state="frozen"/>
      <selection activeCell="H1" sqref="H1"/>
      <selection pane="bottomLeft" activeCell="L1" sqref="L1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13.1640625" style="1" customWidth="1"/>
    <col min="4" max="4" width="14.33203125" style="22" customWidth="1"/>
    <col min="5" max="5" width="12.5" style="1" customWidth="1"/>
    <col min="6" max="6" width="13.6640625" style="22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8" bestFit="1" customWidth="1"/>
    <col min="25" max="16384" width="9" style="1"/>
  </cols>
  <sheetData>
    <row r="1" spans="1:24" s="3" customFormat="1" ht="14.85" customHeight="1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7" t="s">
        <v>105</v>
      </c>
    </row>
    <row r="2" spans="1:24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28">
        <v>-1</v>
      </c>
      <c r="K2" s="28">
        <v>-1</v>
      </c>
      <c r="L2" s="28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28">
        <v>-1</v>
      </c>
      <c r="K3" s="28">
        <v>-1</v>
      </c>
      <c r="L3" s="28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28">
        <v>-1</v>
      </c>
      <c r="K4" s="28">
        <v>-1</v>
      </c>
      <c r="L4" s="28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28">
        <v>-1</v>
      </c>
      <c r="K5" s="28">
        <v>-1</v>
      </c>
      <c r="L5" s="28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28">
        <v>-1</v>
      </c>
      <c r="K6" s="28">
        <v>-1</v>
      </c>
      <c r="L6" s="28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28">
        <v>-1</v>
      </c>
      <c r="K7" s="28">
        <v>-1</v>
      </c>
      <c r="L7" s="28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28">
        <v>-1</v>
      </c>
      <c r="K8" s="28">
        <v>-1</v>
      </c>
      <c r="L8" s="28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28">
        <v>-1</v>
      </c>
      <c r="K9" s="28">
        <v>-1</v>
      </c>
      <c r="L9" s="28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28">
        <v>-1</v>
      </c>
      <c r="K10" s="28">
        <v>-1</v>
      </c>
      <c r="L10" s="28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28">
        <v>-1</v>
      </c>
      <c r="K11" s="28">
        <v>-1</v>
      </c>
      <c r="L11" s="28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28">
        <v>0</v>
      </c>
      <c r="K12" s="28">
        <v>0</v>
      </c>
      <c r="L12" s="28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28">
        <v>-1</v>
      </c>
      <c r="K13" s="28">
        <v>-1</v>
      </c>
      <c r="L13" s="28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28">
        <v>-1</v>
      </c>
      <c r="K14" s="28">
        <v>-1</v>
      </c>
      <c r="L14" s="28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28">
        <v>-1</v>
      </c>
      <c r="K15" s="28">
        <v>-1</v>
      </c>
      <c r="L15" s="28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28">
        <v>-1</v>
      </c>
      <c r="K16" s="28">
        <v>-1</v>
      </c>
      <c r="L16" s="28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28">
        <v>-1</v>
      </c>
      <c r="K17" s="28">
        <v>-1</v>
      </c>
      <c r="L17" s="28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28">
        <v>-1</v>
      </c>
      <c r="K18" s="28">
        <v>-1</v>
      </c>
      <c r="L18" s="28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28">
        <v>-1</v>
      </c>
      <c r="K19" s="28">
        <v>-1</v>
      </c>
      <c r="L19" s="28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28">
        <v>-1</v>
      </c>
      <c r="K20" s="28">
        <v>-1</v>
      </c>
      <c r="L20" s="28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28">
        <v>-1</v>
      </c>
      <c r="K21" s="28">
        <v>-1</v>
      </c>
      <c r="L21" s="28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28">
        <v>-1</v>
      </c>
      <c r="K22" s="28">
        <v>-1</v>
      </c>
      <c r="L22" s="28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28">
        <v>-1</v>
      </c>
      <c r="K23" s="28">
        <v>-1</v>
      </c>
      <c r="L23" s="28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28">
        <v>-1</v>
      </c>
      <c r="K24" s="28">
        <v>-1</v>
      </c>
      <c r="L24" s="28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28">
        <v>-1</v>
      </c>
      <c r="K25" s="28">
        <v>-1</v>
      </c>
      <c r="L25" s="28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28">
        <v>0</v>
      </c>
      <c r="K26" s="28">
        <v>0</v>
      </c>
      <c r="L26" s="28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28">
        <v>-1</v>
      </c>
      <c r="K27" s="28">
        <v>-1</v>
      </c>
      <c r="L27" s="28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28">
        <v>-1</v>
      </c>
      <c r="K28" s="28">
        <v>-1</v>
      </c>
      <c r="L28" s="28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28">
        <v>-1</v>
      </c>
      <c r="K29" s="28">
        <v>-1</v>
      </c>
      <c r="L29" s="28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28">
        <v>-1</v>
      </c>
      <c r="K30" s="28">
        <v>-1</v>
      </c>
      <c r="L30" s="28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28">
        <v>-1</v>
      </c>
      <c r="K31" s="28">
        <v>-1</v>
      </c>
      <c r="L31" s="28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28">
        <v>-1</v>
      </c>
      <c r="K32" s="28">
        <v>-1</v>
      </c>
      <c r="L32" s="28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28">
        <v>-1</v>
      </c>
      <c r="K33" s="28">
        <v>-1</v>
      </c>
      <c r="L33" s="28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28">
        <v>-1</v>
      </c>
      <c r="K34" s="28">
        <v>-1</v>
      </c>
      <c r="L34" s="28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28">
        <v>-1</v>
      </c>
      <c r="K35" s="28">
        <v>-1</v>
      </c>
      <c r="L35" s="28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28">
        <v>-1</v>
      </c>
      <c r="K36" s="28">
        <v>-1</v>
      </c>
      <c r="L36" s="28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28">
        <v>-1</v>
      </c>
      <c r="K37" s="28">
        <v>-1</v>
      </c>
      <c r="L37" s="28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28">
        <v>-1</v>
      </c>
      <c r="K38" s="28">
        <v>-1</v>
      </c>
      <c r="L38" s="28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28">
        <v>-1</v>
      </c>
      <c r="K39" s="28">
        <v>-1</v>
      </c>
      <c r="L39" s="28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28">
        <v>-1</v>
      </c>
      <c r="K40" s="28">
        <v>-1</v>
      </c>
      <c r="L40" s="28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>
      <c r="A41" s="43"/>
      <c r="B41" s="43"/>
      <c r="C41" s="43"/>
      <c r="D41" s="44"/>
      <c r="E41" s="43"/>
      <c r="F41" s="44"/>
      <c r="G41" s="43"/>
      <c r="H41" s="46">
        <f>SUMIF([car2],"&gt;20")</f>
        <v>1473.0000000000002</v>
      </c>
      <c r="I41" s="43"/>
      <c r="J41" s="45"/>
      <c r="K41" s="45"/>
      <c r="L41" s="45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9"/>
    </row>
  </sheetData>
  <conditionalFormatting sqref="A1:A1048576">
    <cfRule type="duplicateValues" dxfId="51" priority="5"/>
  </conditionalFormatting>
  <conditionalFormatting sqref="B1:B1048576">
    <cfRule type="duplicateValues" dxfId="50" priority="4"/>
  </conditionalFormatting>
  <conditionalFormatting sqref="J1:L40">
    <cfRule type="colorScale" priority="3">
      <colorScale>
        <cfvo type="min" val="0"/>
        <cfvo type="max" val="0"/>
        <color rgb="FFFF0000"/>
        <color rgb="FF00B050"/>
      </colorScale>
    </cfRule>
  </conditionalFormatting>
  <conditionalFormatting sqref="G2:I40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zoomScaleNormal="100" workbookViewId="0">
      <selection activeCell="C6" sqref="C6"/>
    </sheetView>
  </sheetViews>
  <sheetFormatPr defaultColWidth="11" defaultRowHeight="15"/>
  <cols>
    <col min="1" max="1" width="8.33203125" style="1" bestFit="1" customWidth="1"/>
    <col min="2" max="2" width="71.1640625" style="1" customWidth="1"/>
    <col min="3" max="3" width="52.5" style="1" customWidth="1"/>
    <col min="4" max="4" width="11" style="1"/>
    <col min="5" max="5" width="28" style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 t="s">
        <v>183</v>
      </c>
      <c r="E4" s="1">
        <v>5</v>
      </c>
    </row>
    <row r="5" spans="1:5">
      <c r="A5" s="6">
        <v>3</v>
      </c>
      <c r="B5" s="2" t="s">
        <v>104</v>
      </c>
      <c r="C5" s="31" t="s">
        <v>177</v>
      </c>
      <c r="E5" s="1">
        <v>10</v>
      </c>
    </row>
    <row r="6" spans="1:5">
      <c r="A6" s="6">
        <v>4</v>
      </c>
      <c r="B6" s="2" t="s">
        <v>106</v>
      </c>
      <c r="C6" s="2" t="s">
        <v>182</v>
      </c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F44"/>
  <sheetViews>
    <sheetView topLeftCell="A16" zoomScaleNormal="100" workbookViewId="0">
      <selection activeCell="F25" sqref="F25"/>
    </sheetView>
  </sheetViews>
  <sheetFormatPr defaultColWidth="11" defaultRowHeight="12.75"/>
  <cols>
    <col min="1" max="1" width="38.33203125" style="2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32" s="38" customFormat="1" ht="21">
      <c r="A1" s="39" t="s">
        <v>55</v>
      </c>
      <c r="B1" s="38" t="s">
        <v>164</v>
      </c>
    </row>
    <row r="2" spans="1:32" s="38" customFormat="1" ht="21">
      <c r="B2" s="38" t="s">
        <v>161</v>
      </c>
    </row>
    <row r="3" spans="1:32" ht="20.25" customHeight="1">
      <c r="A3" s="40" t="s">
        <v>53</v>
      </c>
      <c r="B3" s="53" t="s">
        <v>181</v>
      </c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</row>
    <row r="4" spans="1:32" ht="23.25">
      <c r="A4" s="16" t="s">
        <v>162</v>
      </c>
      <c r="B4" s="1"/>
      <c r="C4" s="1"/>
      <c r="D4" s="1"/>
      <c r="E4" s="1"/>
      <c r="F4" s="1"/>
      <c r="G4" s="1"/>
    </row>
    <row r="5" spans="1:32" ht="1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</row>
    <row r="6" spans="1:32" ht="15">
      <c r="A6" s="7" t="s">
        <v>40</v>
      </c>
      <c r="B6" s="51">
        <f>VLOOKUP($A6,Table1[], 7, FALSE)</f>
        <v>2.7</v>
      </c>
      <c r="C6" s="51">
        <f>VLOOKUP($A6,Table1[],14,FALSE)</f>
        <v>7.6</v>
      </c>
      <c r="D6" s="51">
        <f>VLOOKUP($A6,Table1[],18,FALSE)</f>
        <v>4.2</v>
      </c>
      <c r="E6" s="51">
        <f>VLOOKUP($A6,Table1[],20,FALSE)</f>
        <v>8.9</v>
      </c>
      <c r="F6" s="51">
        <f>VLOOKUP($A6,Table1[],22,FALSE)</f>
        <v>4.2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</row>
    <row r="7" spans="1:32" ht="15">
      <c r="A7" s="7" t="s">
        <v>4</v>
      </c>
      <c r="B7" s="51">
        <f>VLOOKUP($A7,Table1[], 7, FALSE)</f>
        <v>2.7</v>
      </c>
      <c r="C7" s="51">
        <f>VLOOKUP($A7,Table1[],14,FALSE)</f>
        <v>7.6</v>
      </c>
      <c r="D7" s="51">
        <f>VLOOKUP($A7,Table1[],18,FALSE)</f>
        <v>4.2</v>
      </c>
      <c r="E7" s="51">
        <f>VLOOKUP($A7,Table1[],20,FALSE)</f>
        <v>8.9</v>
      </c>
      <c r="F7" s="51">
        <f>VLOOKUP($A7,Table1[],22,FALSE)</f>
        <v>4.2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</row>
    <row r="8" spans="1:32" ht="15">
      <c r="A8" s="7" t="s">
        <v>7</v>
      </c>
      <c r="B8" s="51">
        <f>VLOOKUP($A8,Table1[], 7, FALSE)</f>
        <v>3.6</v>
      </c>
      <c r="C8" s="51">
        <f>VLOOKUP($A8,Table1[],14,FALSE)</f>
        <v>11.1</v>
      </c>
      <c r="D8" s="51">
        <f>VLOOKUP($A8,Table1[],18,FALSE)</f>
        <v>5.8</v>
      </c>
      <c r="E8" s="51">
        <f>VLOOKUP($A8,Table1[],20,FALSE)</f>
        <v>12.2</v>
      </c>
      <c r="F8" s="51">
        <f>VLOOKUP($A8,Table1[],22,FALSE)</f>
        <v>5.8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</row>
    <row r="9" spans="1:32" ht="15">
      <c r="A9" s="7" t="s">
        <v>8</v>
      </c>
      <c r="B9" s="51">
        <f>VLOOKUP($A9,Table1[], 7, FALSE)</f>
        <v>4.9000000000000004</v>
      </c>
      <c r="C9" s="51">
        <f>VLOOKUP($A9,Table1[],14,FALSE)</f>
        <v>13.3</v>
      </c>
      <c r="D9" s="51">
        <f>VLOOKUP($A9,Table1[],18,FALSE)</f>
        <v>8.1</v>
      </c>
      <c r="E9" s="51">
        <f>VLOOKUP($A9,Table1[],20,FALSE)</f>
        <v>17</v>
      </c>
      <c r="F9" s="51">
        <f>VLOOKUP($A9,Table1[],22,FALSE)</f>
        <v>8.1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</row>
    <row r="10" spans="1:32" ht="15">
      <c r="A10" s="7" t="s">
        <v>11</v>
      </c>
      <c r="B10" s="51">
        <f>VLOOKUP($A10,Table1[], 7, FALSE)</f>
        <v>9.4</v>
      </c>
      <c r="C10" s="51">
        <f>VLOOKUP($A10,Table1[],14,FALSE)</f>
        <v>28.3</v>
      </c>
      <c r="D10" s="51">
        <f>VLOOKUP($A10,Table1[],18,FALSE)</f>
        <v>16.100000000000001</v>
      </c>
      <c r="E10" s="51">
        <f>VLOOKUP($A10,Table1[],20,FALSE)</f>
        <v>32.799999999999997</v>
      </c>
      <c r="F10" s="51">
        <f>VLOOKUP($A10,Table1[],22,FALSE)</f>
        <v>16.100000000000001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1" spans="1:32" ht="15">
      <c r="A11" s="7" t="s">
        <v>12</v>
      </c>
      <c r="B11" s="51">
        <f>VLOOKUP($A11,Table1[], 7, FALSE)</f>
        <v>11.6</v>
      </c>
      <c r="C11" s="51">
        <f>VLOOKUP($A11,Table1[],14,FALSE)</f>
        <v>35.200000000000003</v>
      </c>
      <c r="D11" s="51">
        <f>VLOOKUP($A11,Table1[],18,FALSE)</f>
        <v>21.3</v>
      </c>
      <c r="E11" s="51">
        <f>VLOOKUP($A11,Table1[],20,FALSE)</f>
        <v>43</v>
      </c>
      <c r="F11" s="51">
        <f>VLOOKUP($A11,Table1[],22,FALSE)</f>
        <v>21.3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32" ht="15">
      <c r="A12" s="7" t="s">
        <v>14</v>
      </c>
      <c r="B12" s="51">
        <f>VLOOKUP($A12,Table1[], 7, FALSE)</f>
        <v>18.399999999999999</v>
      </c>
      <c r="C12" s="51">
        <f>VLOOKUP($A12,Table1[],14,FALSE)</f>
        <v>55.6</v>
      </c>
      <c r="D12" s="51">
        <f>VLOOKUP($A12,Table1[],18,FALSE)</f>
        <v>33.799999999999997</v>
      </c>
      <c r="E12" s="51">
        <f>VLOOKUP($A12,Table1[],20,FALSE)</f>
        <v>67.900000000000006</v>
      </c>
      <c r="F12" s="51">
        <f>VLOOKUP($A12,Table1[],22,FALSE)</f>
        <v>33.799999999999997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</row>
    <row r="13" spans="1:32" ht="15">
      <c r="A13" s="7" t="s">
        <v>15</v>
      </c>
      <c r="B13" s="51">
        <f>VLOOKUP($A13,Table1[], 7, FALSE)</f>
        <v>0</v>
      </c>
      <c r="C13" s="51">
        <f>VLOOKUP($A13,Table1[],14,FALSE)</f>
        <v>0</v>
      </c>
      <c r="D13" s="51">
        <f>VLOOKUP($A13,Table1[],18,FALSE)</f>
        <v>0</v>
      </c>
      <c r="E13" s="51">
        <f>VLOOKUP($A13,Table1[],20,FALSE)</f>
        <v>0</v>
      </c>
      <c r="F13" s="51">
        <f>VLOOKUP($A13,Table1[],22,FALSE)</f>
        <v>0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32" ht="15">
      <c r="A14" s="7" t="s">
        <v>16</v>
      </c>
      <c r="B14" s="51">
        <f>VLOOKUP($A14,Table1[], 7, FALSE)</f>
        <v>21.9</v>
      </c>
      <c r="C14" s="51">
        <f>VLOOKUP($A14,Table1[],14,FALSE)</f>
        <v>61.5</v>
      </c>
      <c r="D14" s="51">
        <f>VLOOKUP($A14,Table1[],18,FALSE)</f>
        <v>40.1</v>
      </c>
      <c r="E14" s="51">
        <f>VLOOKUP($A14,Table1[],20,FALSE)</f>
        <v>76.599999999999994</v>
      </c>
      <c r="F14" s="51">
        <f>VLOOKUP($A14,Table1[],22,FALSE)</f>
        <v>40.1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</row>
    <row r="15" spans="1:32" ht="15">
      <c r="A15" s="7" t="s">
        <v>18</v>
      </c>
      <c r="B15" s="51">
        <f>VLOOKUP($A15,Table1[], 7, FALSE)</f>
        <v>26.8</v>
      </c>
      <c r="C15" s="51">
        <f>VLOOKUP($A15,Table1[],14,FALSE)</f>
        <v>79.599999999999994</v>
      </c>
      <c r="D15" s="51">
        <f>VLOOKUP($A15,Table1[],18,FALSE)</f>
        <v>47.9</v>
      </c>
      <c r="E15" s="51">
        <f>VLOOKUP($A15,Table1[],20,FALSE)</f>
        <v>96.8</v>
      </c>
      <c r="F15" s="51">
        <f>VLOOKUP($A15,Table1[],22,FALSE)</f>
        <v>47.9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</row>
    <row r="16" spans="1:32" ht="15">
      <c r="A16" s="7" t="s">
        <v>20</v>
      </c>
      <c r="B16" s="51">
        <f>VLOOKUP($A16,Table1[], 7, FALSE)</f>
        <v>28.5</v>
      </c>
      <c r="C16" s="51">
        <f>VLOOKUP($A16,Table1[],14,FALSE)</f>
        <v>85.4</v>
      </c>
      <c r="D16" s="51">
        <f>VLOOKUP($A16,Table1[],18,FALSE)</f>
        <v>52.3</v>
      </c>
      <c r="E16" s="51">
        <f>VLOOKUP($A16,Table1[],20,FALSE)</f>
        <v>106.1</v>
      </c>
      <c r="F16" s="51">
        <f>VLOOKUP($A16,Table1[],22,FALSE)</f>
        <v>52.3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</row>
    <row r="17" spans="1:32" ht="15">
      <c r="A17" s="7" t="s">
        <v>22</v>
      </c>
      <c r="B17" s="51">
        <f>VLOOKUP($A17,Table1[], 7, FALSE)</f>
        <v>30.7</v>
      </c>
      <c r="C17" s="51">
        <f>VLOOKUP($A17,Table1[],14,FALSE)</f>
        <v>92.1</v>
      </c>
      <c r="D17" s="51">
        <f>VLOOKUP($A17,Table1[],18,FALSE)</f>
        <v>57</v>
      </c>
      <c r="E17" s="51">
        <f>VLOOKUP($A17,Table1[],20,FALSE)</f>
        <v>115.1</v>
      </c>
      <c r="F17" s="51">
        <f>VLOOKUP($A17,Table1[],22,FALSE)</f>
        <v>57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</row>
    <row r="18" spans="1:32" ht="15">
      <c r="A18" s="7" t="s">
        <v>23</v>
      </c>
      <c r="B18" s="51">
        <f>VLOOKUP($A18,Table1[], 7, FALSE)</f>
        <v>33.799999999999997</v>
      </c>
      <c r="C18" s="51">
        <f>VLOOKUP($A18,Table1[],14,FALSE)</f>
        <v>101.3</v>
      </c>
      <c r="D18" s="51">
        <f>VLOOKUP($A18,Table1[],18,FALSE)</f>
        <v>61.4</v>
      </c>
      <c r="E18" s="51">
        <f>VLOOKUP($A18,Table1[],20,FALSE)</f>
        <v>124.4</v>
      </c>
      <c r="F18" s="51">
        <f>VLOOKUP($A18,Table1[],22,FALSE)</f>
        <v>61.4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</row>
    <row r="19" spans="1:32" ht="15">
      <c r="A19" s="7" t="s">
        <v>24</v>
      </c>
      <c r="B19" s="51">
        <f>VLOOKUP($A19,Table1[], 7, FALSE)</f>
        <v>34.700000000000003</v>
      </c>
      <c r="C19" s="51">
        <f>VLOOKUP($A19,Table1[],14,FALSE)</f>
        <v>106.1</v>
      </c>
      <c r="D19" s="51">
        <f>VLOOKUP($A19,Table1[],18,FALSE)</f>
        <v>63.6</v>
      </c>
      <c r="E19" s="51">
        <f>VLOOKUP($A19,Table1[],20,FALSE)</f>
        <v>128.6</v>
      </c>
      <c r="F19" s="51">
        <f>VLOOKUP($A19,Table1[],22,FALSE)</f>
        <v>63.6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1:32" ht="15">
      <c r="A20" s="7" t="s">
        <v>28</v>
      </c>
      <c r="B20" s="51">
        <f>VLOOKUP($A20,Table1[], 7, FALSE)</f>
        <v>0</v>
      </c>
      <c r="C20" s="51">
        <f>VLOOKUP($A20,Table1[],14,FALSE)</f>
        <v>0</v>
      </c>
      <c r="D20" s="51">
        <f>VLOOKUP($A20,Table1[],18,FALSE)</f>
        <v>0</v>
      </c>
      <c r="E20" s="51">
        <f>VLOOKUP($A20,Table1[],20,FALSE)</f>
        <v>0</v>
      </c>
      <c r="F20" s="51">
        <f>VLOOKUP($A20,Table1[],22,FALSE)</f>
        <v>0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1:32" ht="15">
      <c r="A21" s="7" t="s">
        <v>57</v>
      </c>
      <c r="B21" s="51">
        <f>VLOOKUP($A21,Table1[], 7, FALSE)</f>
        <v>41.3</v>
      </c>
      <c r="C21" s="51">
        <f>VLOOKUP($A21,Table1[],14,FALSE)</f>
        <v>124.4</v>
      </c>
      <c r="D21" s="51">
        <f>VLOOKUP($A21,Table1[],18,FALSE)</f>
        <v>75</v>
      </c>
      <c r="E21" s="51">
        <f>VLOOKUP($A21,Table1[],20,FALSE)</f>
        <v>151.5</v>
      </c>
      <c r="F21" s="51">
        <f>VLOOKUP($A21,Table1[],22,FALSE)</f>
        <v>75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1:32" ht="15">
      <c r="A22" s="7" t="s">
        <v>58</v>
      </c>
      <c r="B22" s="51">
        <f>VLOOKUP($A22,Table1[], 7, FALSE)</f>
        <v>-1</v>
      </c>
      <c r="C22" s="51">
        <f>VLOOKUP($A22,Table1[],14,FALSE)</f>
        <v>-1</v>
      </c>
      <c r="D22" s="51">
        <f>VLOOKUP($A22,Table1[],18,FALSE)</f>
        <v>-1</v>
      </c>
      <c r="E22" s="51">
        <f>VLOOKUP($A22,Table1[],20,FALSE)</f>
        <v>-1</v>
      </c>
      <c r="F22" s="51">
        <f>VLOOKUP($A22,Table1[],22,FALSE)</f>
        <v>-1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1:32" ht="15">
      <c r="A23" s="7" t="s">
        <v>31</v>
      </c>
      <c r="B23" s="51">
        <f>VLOOKUP($A23,Table1[], 7, FALSE)</f>
        <v>45</v>
      </c>
      <c r="C23" s="51">
        <f>VLOOKUP($A23,Table1[],14,FALSE)</f>
        <v>133.4</v>
      </c>
      <c r="D23" s="51">
        <f>VLOOKUP($A23,Table1[],18,FALSE)</f>
        <v>79.400000000000006</v>
      </c>
      <c r="E23" s="51">
        <f>VLOOKUP($A23,Table1[],20,FALSE)</f>
        <v>160.9</v>
      </c>
      <c r="F23" s="51">
        <f>VLOOKUP($A23,Table1[],22,FALSE)</f>
        <v>79.400000000000006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spans="1:32" ht="15">
      <c r="A24" s="7" t="s">
        <v>32</v>
      </c>
      <c r="B24" s="51">
        <f>VLOOKUP($A24,Table1[], 7, FALSE)</f>
        <v>-1</v>
      </c>
      <c r="C24" s="51">
        <f>VLOOKUP($A24,Table1[],14,FALSE)</f>
        <v>-1</v>
      </c>
      <c r="D24" s="51">
        <f>VLOOKUP($A24,Table1[],18,FALSE)</f>
        <v>-1</v>
      </c>
      <c r="E24" s="51">
        <f>VLOOKUP($A24,Table1[],20,FALSE)</f>
        <v>-1</v>
      </c>
      <c r="F24" s="51">
        <f>VLOOKUP($A24,Table1[],22,FALSE)</f>
        <v>-1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5" spans="1:32" ht="15">
      <c r="A25" s="7" t="s">
        <v>34</v>
      </c>
      <c r="B25" s="51">
        <f>VLOOKUP($A25,Table1[], 7, FALSE)</f>
        <v>43.3</v>
      </c>
      <c r="C25" s="51">
        <f>VLOOKUP($A25,Table1[],14,FALSE)</f>
        <v>128.6</v>
      </c>
      <c r="D25" s="51">
        <f>VLOOKUP($A25,Table1[],18,FALSE)</f>
        <v>79.400000000000006</v>
      </c>
      <c r="E25" s="51">
        <f>VLOOKUP($A25,Table1[],20,FALSE)</f>
        <v>160.9</v>
      </c>
      <c r="F25" s="51">
        <f>VLOOKUP($A25,Table1[],22,FALSE)</f>
        <v>79.400000000000006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  <row r="26" spans="1:32" ht="15">
      <c r="A26" s="7" t="s">
        <v>37</v>
      </c>
      <c r="B26" s="51">
        <f>VLOOKUP($A26,Table1[], 7, FALSE)</f>
        <v>49.1</v>
      </c>
      <c r="C26" s="51">
        <f>VLOOKUP($A26,Table1[],14,FALSE)</f>
        <v>146.80000000000001</v>
      </c>
      <c r="D26" s="51">
        <f>VLOOKUP($A26,Table1[],18,FALSE)</f>
        <v>90.9</v>
      </c>
      <c r="E26" s="51">
        <f>VLOOKUP($A26,Table1[],20,FALSE)</f>
        <v>183.5</v>
      </c>
      <c r="F26" s="51">
        <f>VLOOKUP($A26,Table1[],22,FALSE)</f>
        <v>90.9</v>
      </c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1:32" ht="15">
      <c r="A27" s="7" t="s">
        <v>39</v>
      </c>
      <c r="B27" s="51">
        <f>VLOOKUP($A27,Table1[], 7, FALSE)</f>
        <v>51.8</v>
      </c>
      <c r="C27" s="51">
        <f>VLOOKUP($A27,Table1[],14,FALSE)</f>
        <v>156.4</v>
      </c>
      <c r="D27" s="51">
        <f>VLOOKUP($A27,Table1[],18,FALSE)</f>
        <v>93.1</v>
      </c>
      <c r="E27" s="51">
        <f>VLOOKUP($A27,Table1[],20,FALSE)</f>
        <v>188.1</v>
      </c>
      <c r="F27" s="51">
        <f>VLOOKUP($A27,Table1[],22,FALSE)</f>
        <v>93.1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1:32" ht="15">
      <c r="A28" s="17" t="s">
        <v>82</v>
      </c>
      <c r="B28" s="52">
        <f>MIN(B6:B27)</f>
        <v>-1</v>
      </c>
      <c r="C28" s="52">
        <f>MIN(C6:C27)</f>
        <v>-1</v>
      </c>
      <c r="D28" s="52">
        <f>MIN(D6:D27)</f>
        <v>-1</v>
      </c>
      <c r="E28" s="52">
        <f>MIN(E6:E27)</f>
        <v>-1</v>
      </c>
      <c r="F28" s="52">
        <f>MIN(F6:F27)</f>
        <v>-1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1:32" ht="15">
      <c r="A29" s="17" t="s">
        <v>83</v>
      </c>
      <c r="B29" s="52">
        <f>MAX(B6:B27)</f>
        <v>51.8</v>
      </c>
      <c r="C29" s="52">
        <f>MAX(C6:C27)</f>
        <v>156.4</v>
      </c>
      <c r="D29" s="52">
        <f>MAX(D6:D27)</f>
        <v>93.1</v>
      </c>
      <c r="E29" s="52">
        <f>MAX(E6:E27)</f>
        <v>188.1</v>
      </c>
      <c r="F29" s="52">
        <f>MAX(F6:F27)</f>
        <v>93.1</v>
      </c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1:32" ht="15">
      <c r="A30" s="17" t="s">
        <v>84</v>
      </c>
      <c r="B30" s="52">
        <f>AVERAGE(B6:B27)</f>
        <v>20.827272727272728</v>
      </c>
      <c r="C30" s="52">
        <f>AVERAGE(C6:C27)</f>
        <v>62.377272727272725</v>
      </c>
      <c r="D30" s="52">
        <f>AVERAGE(D6:D27)</f>
        <v>37.800000000000004</v>
      </c>
      <c r="E30" s="52">
        <f>AVERAGE(E6:E27)</f>
        <v>76.418181818181822</v>
      </c>
      <c r="F30" s="52">
        <f>AVERAGE(F6:F27)</f>
        <v>37.800000000000004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</row>
    <row r="31" spans="1:32"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</row>
    <row r="32" spans="1:32"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9:32"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9:32"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9:32"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</row>
    <row r="36" spans="9:32"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</row>
    <row r="37" spans="9:32"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</row>
    <row r="38" spans="9:32"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9:32"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9:32"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</row>
    <row r="41" spans="9:32"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</row>
    <row r="42" spans="9:32"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</row>
    <row r="43" spans="9:32"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</row>
    <row r="44" spans="9:32"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</row>
  </sheetData>
  <mergeCells count="1">
    <mergeCell ref="B3:M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tabSelected="1" zoomScaleNormal="100" workbookViewId="0">
      <selection activeCell="G5" sqref="G5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38" customFormat="1" ht="21">
      <c r="A1" s="39" t="s">
        <v>56</v>
      </c>
      <c r="B1" s="38" t="s">
        <v>174</v>
      </c>
    </row>
    <row r="2" spans="1:10" customFormat="1" ht="12.75"/>
    <row r="3" spans="1:10" s="2" customFormat="1">
      <c r="B3" s="1"/>
    </row>
    <row r="4" spans="1:10" s="2" customFormat="1">
      <c r="B4" s="1" t="s">
        <v>151</v>
      </c>
    </row>
    <row r="5" spans="1:10" ht="18.75">
      <c r="A5" s="40" t="s">
        <v>53</v>
      </c>
      <c r="B5" s="37" t="s">
        <v>184</v>
      </c>
    </row>
    <row r="6" spans="1:10" ht="18.75">
      <c r="A6" s="40" t="s">
        <v>153</v>
      </c>
      <c r="B6" s="37" t="s">
        <v>185</v>
      </c>
    </row>
    <row r="7" spans="1:10" ht="18.75">
      <c r="A7" s="40"/>
      <c r="B7" s="37"/>
    </row>
    <row r="9" spans="1:10" ht="23.25">
      <c r="A9" s="16" t="s">
        <v>165</v>
      </c>
      <c r="I9" s="2"/>
      <c r="J9" s="2"/>
    </row>
    <row r="10" spans="1:10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>
      <c r="A14" s="16" t="s">
        <v>162</v>
      </c>
    </row>
    <row r="15" spans="1:10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>
      <c r="A16" s="7" t="s">
        <v>121</v>
      </c>
      <c r="B16" s="7">
        <v>20000</v>
      </c>
      <c r="C16" s="1" t="s">
        <v>5</v>
      </c>
      <c r="D16" s="10">
        <v>0</v>
      </c>
      <c r="E16" s="1" t="s">
        <v>6</v>
      </c>
      <c r="F16" s="10">
        <v>24</v>
      </c>
    </row>
    <row r="17" spans="1:8">
      <c r="A17" s="7" t="s">
        <v>122</v>
      </c>
      <c r="B17" s="7">
        <v>20002</v>
      </c>
      <c r="C17" s="1" t="s">
        <v>5</v>
      </c>
      <c r="D17" s="10">
        <v>0</v>
      </c>
      <c r="E17" s="1" t="s">
        <v>6</v>
      </c>
      <c r="F17" s="10">
        <v>24</v>
      </c>
    </row>
    <row r="18" spans="1:8">
      <c r="A18" s="7" t="s">
        <v>123</v>
      </c>
      <c r="B18" s="7">
        <v>20004</v>
      </c>
      <c r="C18" s="1" t="s">
        <v>5</v>
      </c>
      <c r="D18" s="10">
        <v>0</v>
      </c>
      <c r="E18" s="1" t="s">
        <v>6</v>
      </c>
      <c r="F18" s="10">
        <v>24</v>
      </c>
      <c r="H18" s="50"/>
    </row>
    <row r="19" spans="1:8">
      <c r="A19" s="7" t="s">
        <v>124</v>
      </c>
      <c r="B19" s="7">
        <v>20006</v>
      </c>
      <c r="C19" s="1" t="s">
        <v>5</v>
      </c>
      <c r="D19" s="10">
        <v>0</v>
      </c>
      <c r="E19" s="1" t="s">
        <v>6</v>
      </c>
      <c r="F19" s="10">
        <v>24</v>
      </c>
    </row>
    <row r="20" spans="1:8">
      <c r="A20" s="7" t="s">
        <v>125</v>
      </c>
      <c r="B20" s="7">
        <v>20008</v>
      </c>
      <c r="C20" s="1" t="s">
        <v>5</v>
      </c>
      <c r="D20" s="10">
        <v>0</v>
      </c>
      <c r="E20" s="1" t="s">
        <v>6</v>
      </c>
      <c r="F20" s="10">
        <v>24</v>
      </c>
    </row>
    <row r="21" spans="1:8">
      <c r="A21" s="7" t="s">
        <v>126</v>
      </c>
      <c r="B21" s="7">
        <v>20010</v>
      </c>
      <c r="C21" s="1" t="s">
        <v>5</v>
      </c>
      <c r="D21" s="10">
        <v>0</v>
      </c>
      <c r="E21" s="1" t="s">
        <v>6</v>
      </c>
      <c r="F21" s="10">
        <v>24</v>
      </c>
    </row>
    <row r="22" spans="1:8">
      <c r="A22" s="7" t="s">
        <v>127</v>
      </c>
      <c r="B22" s="7">
        <v>20012</v>
      </c>
      <c r="C22" s="1" t="s">
        <v>5</v>
      </c>
      <c r="D22" s="10">
        <v>0</v>
      </c>
      <c r="E22" s="1" t="s">
        <v>6</v>
      </c>
      <c r="F22" s="10">
        <v>24</v>
      </c>
    </row>
    <row r="23" spans="1:8">
      <c r="A23" s="7" t="s">
        <v>128</v>
      </c>
      <c r="B23" s="7">
        <v>20014</v>
      </c>
      <c r="C23" s="1" t="s">
        <v>5</v>
      </c>
      <c r="D23" s="10">
        <v>0</v>
      </c>
      <c r="E23" s="1" t="s">
        <v>6</v>
      </c>
      <c r="F23" s="10">
        <v>24</v>
      </c>
    </row>
    <row r="24" spans="1:8">
      <c r="A24" s="7" t="s">
        <v>129</v>
      </c>
      <c r="B24" s="7">
        <v>20016</v>
      </c>
      <c r="C24" s="1" t="s">
        <v>5</v>
      </c>
      <c r="D24" s="10">
        <v>0</v>
      </c>
      <c r="E24" s="1" t="s">
        <v>6</v>
      </c>
      <c r="F24" s="10">
        <v>24</v>
      </c>
    </row>
    <row r="25" spans="1:8">
      <c r="A25" s="7" t="s">
        <v>130</v>
      </c>
      <c r="B25" s="7">
        <v>20018</v>
      </c>
      <c r="C25" s="1" t="s">
        <v>5</v>
      </c>
      <c r="D25" s="10">
        <v>0</v>
      </c>
      <c r="E25" s="1" t="s">
        <v>6</v>
      </c>
      <c r="F25" s="10">
        <v>24</v>
      </c>
    </row>
    <row r="26" spans="1:8">
      <c r="A26" s="7" t="s">
        <v>131</v>
      </c>
      <c r="B26" s="7">
        <v>20020</v>
      </c>
      <c r="C26" s="1" t="s">
        <v>5</v>
      </c>
      <c r="D26" s="10">
        <v>0</v>
      </c>
      <c r="E26" s="1" t="s">
        <v>6</v>
      </c>
      <c r="F26" s="10">
        <v>24</v>
      </c>
    </row>
    <row r="27" spans="1:8">
      <c r="A27" s="7" t="s">
        <v>132</v>
      </c>
      <c r="B27" s="7">
        <v>20022</v>
      </c>
      <c r="C27" s="1" t="s">
        <v>5</v>
      </c>
      <c r="D27" s="10">
        <v>0</v>
      </c>
      <c r="E27" s="1" t="s">
        <v>6</v>
      </c>
      <c r="F27" s="10">
        <v>24</v>
      </c>
    </row>
    <row r="28" spans="1:8">
      <c r="A28" s="7" t="s">
        <v>133</v>
      </c>
      <c r="B28" s="7">
        <v>20024</v>
      </c>
      <c r="C28" s="1" t="s">
        <v>5</v>
      </c>
      <c r="D28" s="10">
        <v>0</v>
      </c>
      <c r="E28" s="1" t="s">
        <v>6</v>
      </c>
      <c r="F28" s="10">
        <v>24</v>
      </c>
    </row>
    <row r="29" spans="1:8">
      <c r="A29" s="7" t="s">
        <v>134</v>
      </c>
      <c r="B29" s="7">
        <v>20026</v>
      </c>
      <c r="C29" s="1" t="s">
        <v>5</v>
      </c>
      <c r="D29" s="10">
        <v>0</v>
      </c>
      <c r="E29" s="1" t="s">
        <v>6</v>
      </c>
      <c r="F29" s="10">
        <v>24</v>
      </c>
    </row>
    <row r="30" spans="1:8">
      <c r="A30" s="7" t="s">
        <v>135</v>
      </c>
      <c r="B30" s="7">
        <v>20028</v>
      </c>
      <c r="C30" s="1" t="s">
        <v>5</v>
      </c>
      <c r="D30" s="10">
        <v>0</v>
      </c>
      <c r="E30" s="1" t="s">
        <v>6</v>
      </c>
      <c r="F30" s="10">
        <v>24</v>
      </c>
    </row>
    <row r="31" spans="1:8">
      <c r="A31" s="7" t="s">
        <v>136</v>
      </c>
      <c r="B31" s="7">
        <v>20030</v>
      </c>
      <c r="C31" s="1" t="s">
        <v>5</v>
      </c>
      <c r="D31" s="10">
        <v>0</v>
      </c>
      <c r="E31" s="1" t="s">
        <v>6</v>
      </c>
      <c r="F31" s="10">
        <v>24</v>
      </c>
    </row>
    <row r="32" spans="1:8">
      <c r="A32" s="7" t="s">
        <v>137</v>
      </c>
      <c r="B32" s="7">
        <v>20032</v>
      </c>
      <c r="C32" s="1" t="s">
        <v>5</v>
      </c>
      <c r="D32" s="10">
        <v>0</v>
      </c>
      <c r="E32" s="1" t="s">
        <v>6</v>
      </c>
      <c r="F32" s="10">
        <v>24</v>
      </c>
    </row>
    <row r="33" spans="1:6">
      <c r="A33" s="7" t="s">
        <v>138</v>
      </c>
      <c r="B33" s="7">
        <v>20034</v>
      </c>
      <c r="C33" s="1" t="s">
        <v>5</v>
      </c>
      <c r="D33" s="10">
        <v>0</v>
      </c>
      <c r="E33" s="1" t="s">
        <v>6</v>
      </c>
      <c r="F33" s="10">
        <v>24</v>
      </c>
    </row>
    <row r="34" spans="1:6">
      <c r="A34" s="7" t="s">
        <v>139</v>
      </c>
      <c r="B34" s="7">
        <v>20036</v>
      </c>
      <c r="C34" s="1" t="s">
        <v>5</v>
      </c>
      <c r="D34" s="10">
        <v>0</v>
      </c>
      <c r="E34" s="1" t="s">
        <v>6</v>
      </c>
      <c r="F34" s="10">
        <v>24</v>
      </c>
    </row>
    <row r="35" spans="1:6">
      <c r="A35" s="7" t="s">
        <v>140</v>
      </c>
      <c r="B35" s="7">
        <v>20038</v>
      </c>
      <c r="C35" s="1" t="s">
        <v>5</v>
      </c>
      <c r="D35" s="10">
        <v>0</v>
      </c>
      <c r="E35" s="1" t="s">
        <v>6</v>
      </c>
      <c r="F35" s="10">
        <v>24</v>
      </c>
    </row>
    <row r="36" spans="1:6">
      <c r="A36" s="7" t="s">
        <v>141</v>
      </c>
      <c r="B36" s="7">
        <v>20040</v>
      </c>
      <c r="C36" s="1" t="s">
        <v>5</v>
      </c>
      <c r="D36" s="10">
        <v>0</v>
      </c>
      <c r="E36" s="1" t="s">
        <v>6</v>
      </c>
      <c r="F36" s="10">
        <v>24</v>
      </c>
    </row>
    <row r="37" spans="1:6">
      <c r="A37" s="7" t="s">
        <v>142</v>
      </c>
      <c r="B37" s="7">
        <v>20042</v>
      </c>
      <c r="C37" s="1" t="s">
        <v>5</v>
      </c>
      <c r="D37" s="10">
        <v>0</v>
      </c>
      <c r="E37" s="1" t="s">
        <v>6</v>
      </c>
      <c r="F37" s="10">
        <v>24</v>
      </c>
    </row>
    <row r="38" spans="1:6">
      <c r="A38" s="7" t="s">
        <v>143</v>
      </c>
      <c r="B38" s="7">
        <v>20044</v>
      </c>
      <c r="C38" s="1" t="s">
        <v>5</v>
      </c>
      <c r="D38" s="10">
        <v>0</v>
      </c>
      <c r="E38" s="1" t="s">
        <v>6</v>
      </c>
      <c r="F38" s="10">
        <v>24</v>
      </c>
    </row>
    <row r="39" spans="1:6">
      <c r="A39" s="7" t="s">
        <v>144</v>
      </c>
      <c r="B39" s="7">
        <v>20046</v>
      </c>
      <c r="C39" s="1" t="s">
        <v>5</v>
      </c>
      <c r="D39" s="10">
        <v>0</v>
      </c>
      <c r="E39" s="1" t="s">
        <v>6</v>
      </c>
      <c r="F39" s="10">
        <v>24</v>
      </c>
    </row>
    <row r="40" spans="1:6">
      <c r="A40" s="7" t="s">
        <v>145</v>
      </c>
      <c r="B40" s="7">
        <v>20048</v>
      </c>
      <c r="C40" s="1" t="s">
        <v>5</v>
      </c>
      <c r="D40" s="10">
        <v>0</v>
      </c>
      <c r="E40" s="1" t="s">
        <v>6</v>
      </c>
      <c r="F40" s="10">
        <v>24</v>
      </c>
    </row>
    <row r="41" spans="1:6">
      <c r="A41" s="7" t="s">
        <v>146</v>
      </c>
      <c r="B41" s="7">
        <v>20050</v>
      </c>
      <c r="C41" s="1" t="s">
        <v>5</v>
      </c>
      <c r="D41" s="10">
        <v>0</v>
      </c>
      <c r="E41" s="1" t="s">
        <v>6</v>
      </c>
      <c r="F41" s="10">
        <v>24</v>
      </c>
    </row>
    <row r="42" spans="1:6">
      <c r="A42" s="7" t="s">
        <v>147</v>
      </c>
      <c r="B42" s="7">
        <v>20052</v>
      </c>
      <c r="C42" s="1" t="s">
        <v>5</v>
      </c>
      <c r="D42" s="10">
        <v>0</v>
      </c>
      <c r="E42" s="1" t="s">
        <v>6</v>
      </c>
      <c r="F42" s="10">
        <v>24</v>
      </c>
    </row>
    <row r="43" spans="1:6">
      <c r="A43" s="7" t="s">
        <v>148</v>
      </c>
      <c r="B43" s="7">
        <v>20054</v>
      </c>
      <c r="C43" s="1" t="s">
        <v>5</v>
      </c>
      <c r="D43" s="10">
        <v>0</v>
      </c>
      <c r="E43" s="1" t="s">
        <v>6</v>
      </c>
      <c r="F43" s="10">
        <v>24</v>
      </c>
    </row>
    <row r="44" spans="1:6">
      <c r="A44" s="7" t="s">
        <v>149</v>
      </c>
      <c r="B44" s="7">
        <v>20058</v>
      </c>
      <c r="C44" s="1" t="s">
        <v>5</v>
      </c>
      <c r="D44" s="10">
        <v>0</v>
      </c>
      <c r="E44" s="1" t="s">
        <v>6</v>
      </c>
      <c r="F44" s="10">
        <v>24</v>
      </c>
    </row>
    <row r="45" spans="1:6">
      <c r="A45" s="7" t="s">
        <v>150</v>
      </c>
      <c r="B45" s="7">
        <v>20060</v>
      </c>
      <c r="C45" s="1" t="s">
        <v>5</v>
      </c>
      <c r="D45" s="10">
        <v>0</v>
      </c>
      <c r="E45" s="1" t="s">
        <v>6</v>
      </c>
      <c r="F45" s="10">
        <v>24</v>
      </c>
    </row>
    <row r="46" spans="1:6">
      <c r="A46" s="7" t="s">
        <v>112</v>
      </c>
      <c r="B46" s="7">
        <v>21000</v>
      </c>
      <c r="C46" s="1" t="s">
        <v>5</v>
      </c>
      <c r="D46" s="10">
        <v>0</v>
      </c>
      <c r="E46" s="1" t="s">
        <v>6</v>
      </c>
      <c r="F46" s="10">
        <v>24</v>
      </c>
    </row>
    <row r="47" spans="1:6">
      <c r="A47" s="7" t="s">
        <v>113</v>
      </c>
      <c r="B47" s="7">
        <v>21002</v>
      </c>
      <c r="C47" s="1" t="s">
        <v>5</v>
      </c>
      <c r="D47" s="10">
        <v>0</v>
      </c>
      <c r="E47" s="1" t="s">
        <v>6</v>
      </c>
      <c r="F47" s="10">
        <v>24</v>
      </c>
    </row>
    <row r="48" spans="1:6">
      <c r="A48" s="7" t="s">
        <v>114</v>
      </c>
      <c r="B48" s="7">
        <v>21004</v>
      </c>
      <c r="C48" s="1" t="s">
        <v>5</v>
      </c>
      <c r="D48" s="10">
        <v>0</v>
      </c>
      <c r="E48" s="1" t="s">
        <v>6</v>
      </c>
      <c r="F48" s="10">
        <v>24</v>
      </c>
    </row>
    <row r="49" spans="1:6">
      <c r="A49" s="7" t="s">
        <v>115</v>
      </c>
      <c r="B49" s="7">
        <v>21006</v>
      </c>
      <c r="C49" s="1" t="s">
        <v>5</v>
      </c>
      <c r="D49" s="10">
        <v>0</v>
      </c>
      <c r="E49" s="1" t="s">
        <v>6</v>
      </c>
      <c r="F49" s="10">
        <v>24</v>
      </c>
    </row>
    <row r="50" spans="1:6">
      <c r="A50" s="7" t="s">
        <v>116</v>
      </c>
      <c r="B50" s="7">
        <v>21008</v>
      </c>
      <c r="C50" s="1" t="s">
        <v>5</v>
      </c>
      <c r="D50" s="10">
        <v>0</v>
      </c>
      <c r="E50" s="1" t="s">
        <v>6</v>
      </c>
      <c r="F50" s="10">
        <v>24</v>
      </c>
    </row>
    <row r="51" spans="1:6">
      <c r="A51" s="7" t="s">
        <v>117</v>
      </c>
      <c r="B51" s="7">
        <v>21010</v>
      </c>
      <c r="C51" s="1" t="s">
        <v>5</v>
      </c>
      <c r="D51" s="10">
        <v>0</v>
      </c>
      <c r="E51" s="1" t="s">
        <v>6</v>
      </c>
      <c r="F51" s="10">
        <v>24</v>
      </c>
    </row>
    <row r="52" spans="1:6">
      <c r="A52" s="7" t="s">
        <v>118</v>
      </c>
      <c r="B52" s="7">
        <v>21012</v>
      </c>
      <c r="C52" s="1" t="s">
        <v>5</v>
      </c>
      <c r="D52" s="10">
        <v>0</v>
      </c>
      <c r="E52" s="1" t="s">
        <v>6</v>
      </c>
      <c r="F52" s="10">
        <v>24</v>
      </c>
    </row>
    <row r="53" spans="1:6">
      <c r="A53" s="7" t="s">
        <v>119</v>
      </c>
      <c r="B53" s="7">
        <v>21014</v>
      </c>
      <c r="C53" s="1" t="s">
        <v>5</v>
      </c>
      <c r="D53" s="10">
        <v>0</v>
      </c>
      <c r="E53" s="1" t="s">
        <v>6</v>
      </c>
      <c r="F53" s="10">
        <v>24</v>
      </c>
    </row>
    <row r="54" spans="1:6">
      <c r="A54" s="8" t="s">
        <v>120</v>
      </c>
      <c r="B54" s="7">
        <v>21016</v>
      </c>
      <c r="C54" s="1" t="s">
        <v>5</v>
      </c>
      <c r="D54" s="10">
        <v>0</v>
      </c>
      <c r="E54" s="1" t="s">
        <v>6</v>
      </c>
      <c r="F54" s="10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F22"/>
  <sheetViews>
    <sheetView zoomScaleNormal="100" workbookViewId="0">
      <selection activeCell="G14" sqref="G14"/>
    </sheetView>
  </sheetViews>
  <sheetFormatPr defaultColWidth="11" defaultRowHeight="12.75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6" ht="21">
      <c r="A1" s="39" t="s">
        <v>85</v>
      </c>
      <c r="B1" s="38" t="s">
        <v>167</v>
      </c>
    </row>
    <row r="2" spans="1:6" ht="18.75">
      <c r="B2" s="37" t="s">
        <v>166</v>
      </c>
    </row>
    <row r="5" spans="1:6" ht="15">
      <c r="B5" s="1" t="s">
        <v>151</v>
      </c>
    </row>
    <row r="6" spans="1:6" ht="15">
      <c r="A6" s="3" t="s">
        <v>53</v>
      </c>
      <c r="B6" s="1" t="s">
        <v>178</v>
      </c>
    </row>
    <row r="7" spans="1:6" ht="15">
      <c r="A7" s="3" t="s">
        <v>153</v>
      </c>
      <c r="B7" s="1" t="s">
        <v>179</v>
      </c>
      <c r="F7" s="2" t="s">
        <v>180</v>
      </c>
    </row>
    <row r="10" spans="1:6" ht="23.25">
      <c r="A10" s="16" t="s">
        <v>162</v>
      </c>
    </row>
    <row r="11" spans="1:6" ht="15">
      <c r="A11" s="29" t="s">
        <v>86</v>
      </c>
      <c r="B11" s="15" t="s">
        <v>87</v>
      </c>
      <c r="C11" s="15" t="s">
        <v>88</v>
      </c>
    </row>
    <row r="12" spans="1:6" ht="15">
      <c r="A12" s="29">
        <v>44927</v>
      </c>
      <c r="B12" s="15" t="s">
        <v>59</v>
      </c>
      <c r="C12" s="15">
        <v>200</v>
      </c>
    </row>
    <row r="13" spans="1:6" ht="15">
      <c r="A13" s="29">
        <v>44928</v>
      </c>
      <c r="B13" s="15" t="s">
        <v>60</v>
      </c>
      <c r="C13" s="15">
        <v>20</v>
      </c>
    </row>
    <row r="14" spans="1:6" ht="15">
      <c r="A14" s="29">
        <v>44929</v>
      </c>
      <c r="B14" s="15" t="s">
        <v>61</v>
      </c>
      <c r="C14" s="15">
        <v>50</v>
      </c>
    </row>
    <row r="15" spans="1:6" ht="15">
      <c r="A15" s="29">
        <v>44930</v>
      </c>
      <c r="B15" s="15" t="s">
        <v>62</v>
      </c>
      <c r="C15" s="15">
        <v>20</v>
      </c>
    </row>
    <row r="16" spans="1:6" ht="15">
      <c r="A16" s="29">
        <v>44931</v>
      </c>
      <c r="B16" s="15" t="s">
        <v>63</v>
      </c>
      <c r="C16" s="15">
        <v>10</v>
      </c>
    </row>
    <row r="17" spans="1:3" ht="15">
      <c r="A17" s="29">
        <v>44932</v>
      </c>
      <c r="B17" s="15" t="s">
        <v>154</v>
      </c>
      <c r="C17" s="15">
        <v>150</v>
      </c>
    </row>
    <row r="18" spans="1:3" ht="15">
      <c r="A18" s="29">
        <v>44933</v>
      </c>
      <c r="B18" s="15" t="s">
        <v>155</v>
      </c>
      <c r="C18" s="15">
        <v>80</v>
      </c>
    </row>
    <row r="19" spans="1:3" ht="15">
      <c r="A19" s="29">
        <v>44934</v>
      </c>
      <c r="B19" s="15" t="s">
        <v>156</v>
      </c>
      <c r="C19" s="15">
        <v>20</v>
      </c>
    </row>
    <row r="20" spans="1:3" ht="15">
      <c r="A20" s="29">
        <v>44935</v>
      </c>
      <c r="B20" s="15" t="s">
        <v>157</v>
      </c>
      <c r="C20" s="15">
        <v>30</v>
      </c>
    </row>
    <row r="21" spans="1:3" ht="15">
      <c r="A21" s="29">
        <v>44936</v>
      </c>
      <c r="B21" s="15" t="s">
        <v>158</v>
      </c>
      <c r="C21" s="15">
        <v>20</v>
      </c>
    </row>
    <row r="22" spans="1:3" ht="15">
      <c r="B22" s="15" t="s">
        <v>159</v>
      </c>
      <c r="C22" s="23">
        <f>SUM(C12:C21)</f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zoomScaleNormal="100" workbookViewId="0">
      <selection activeCell="B1" sqref="B1"/>
    </sheetView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39" t="s">
        <v>98</v>
      </c>
      <c r="B1" s="38" t="s">
        <v>175</v>
      </c>
    </row>
    <row r="3" spans="1:14" ht="15">
      <c r="B3" s="1" t="s">
        <v>151</v>
      </c>
    </row>
    <row r="4" spans="1:14" ht="18.75">
      <c r="A4" s="40" t="s">
        <v>53</v>
      </c>
      <c r="B4" s="1"/>
    </row>
    <row r="5" spans="1:14" ht="18.75">
      <c r="A5" s="40" t="s">
        <v>153</v>
      </c>
      <c r="B5" s="1"/>
    </row>
    <row r="6" spans="1:14" ht="15">
      <c r="A6" s="3"/>
      <c r="B6" s="1"/>
    </row>
    <row r="8" spans="1:14" ht="23.25">
      <c r="A8" s="16" t="s">
        <v>162</v>
      </c>
      <c r="M8" s="16" t="s">
        <v>163</v>
      </c>
    </row>
    <row r="9" spans="1:14" ht="1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>
      <c r="A21" s="16" t="s">
        <v>168</v>
      </c>
    </row>
    <row r="22" spans="1:14" ht="15">
      <c r="A22" s="12" t="s">
        <v>100</v>
      </c>
      <c r="B22" s="15" t="s">
        <v>101</v>
      </c>
      <c r="C22" s="14" t="s">
        <v>102</v>
      </c>
    </row>
    <row r="23" spans="1:14" ht="15">
      <c r="A23" s="7">
        <v>10100</v>
      </c>
      <c r="B23" s="10">
        <v>10102</v>
      </c>
      <c r="C23" s="41" t="e">
        <f>VLOOKUP($A23,A9:J18,C21)</f>
        <v>#N/A</v>
      </c>
    </row>
    <row r="24" spans="1:14" ht="15">
      <c r="A24" s="7">
        <v>10100</v>
      </c>
      <c r="B24" s="10">
        <v>10104</v>
      </c>
      <c r="C24" s="41"/>
    </row>
    <row r="25" spans="1:14" ht="15">
      <c r="A25" s="7">
        <v>10108</v>
      </c>
      <c r="B25" s="10">
        <v>10102</v>
      </c>
      <c r="C25" s="41"/>
    </row>
    <row r="26" spans="1:14" ht="15">
      <c r="A26" s="7">
        <v>10100</v>
      </c>
      <c r="B26" s="10">
        <v>10106</v>
      </c>
      <c r="C26" s="41"/>
    </row>
    <row r="27" spans="1:14" ht="15">
      <c r="A27" s="7">
        <v>10108</v>
      </c>
      <c r="B27" s="10">
        <v>10110</v>
      </c>
      <c r="C27" s="41"/>
    </row>
    <row r="28" spans="1:14" ht="15">
      <c r="A28" s="7">
        <v>10102</v>
      </c>
      <c r="B28" s="10">
        <v>10104</v>
      </c>
      <c r="C28" s="41"/>
    </row>
    <row r="29" spans="1:14" ht="15">
      <c r="A29" s="7">
        <v>10106</v>
      </c>
      <c r="B29" s="10">
        <v>10108</v>
      </c>
      <c r="C29" s="41"/>
    </row>
    <row r="30" spans="1:14" ht="15">
      <c r="A30" s="7">
        <v>10102</v>
      </c>
      <c r="B30" s="10">
        <v>10106</v>
      </c>
      <c r="C30" s="41"/>
    </row>
    <row r="31" spans="1:14" ht="15">
      <c r="A31" s="7">
        <v>10110</v>
      </c>
      <c r="B31" s="10">
        <v>10114</v>
      </c>
      <c r="C31" s="41"/>
    </row>
    <row r="32" spans="1:14" ht="15">
      <c r="A32" s="7">
        <v>10104</v>
      </c>
      <c r="B32" s="10">
        <v>10106</v>
      </c>
      <c r="C32" s="41"/>
    </row>
    <row r="33" spans="1:3" ht="15">
      <c r="A33" s="7">
        <v>10110</v>
      </c>
      <c r="B33" s="10">
        <v>10112</v>
      </c>
      <c r="C33" s="41"/>
    </row>
    <row r="34" spans="1:3" ht="15">
      <c r="A34" s="7">
        <v>10100</v>
      </c>
      <c r="B34" s="10">
        <v>10114</v>
      </c>
      <c r="C34" s="41"/>
    </row>
    <row r="35" spans="1:3" ht="15">
      <c r="A35" s="8">
        <v>10112</v>
      </c>
      <c r="B35" s="11">
        <v>10116</v>
      </c>
      <c r="C35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2023-12-11T17:46:29Z</dcterms:modified>
</cp:coreProperties>
</file>